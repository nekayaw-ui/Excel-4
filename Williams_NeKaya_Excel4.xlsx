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nekayaw/Downloads/"/>
    </mc:Choice>
  </mc:AlternateContent>
  <xr:revisionPtr revIDLastSave="0" documentId="13_ncr:1_{AAB0CEF6-FAC9-6D49-831A-2CB53664B74B}" xr6:coauthVersionLast="47" xr6:coauthVersionMax="47" xr10:uidLastSave="{00000000-0000-0000-0000-000000000000}"/>
  <bookViews>
    <workbookView xWindow="0" yWindow="680" windowWidth="34200" windowHeight="21460" xr2:uid="{F18DAF71-10E1-4C07-B178-66E2F997FCA6}"/>
  </bookViews>
  <sheets>
    <sheet name="Williams_NPV" sheetId="1" r:id="rId1"/>
    <sheet name="Williams_Modified CF" sheetId="2" r:id="rId2"/>
    <sheet name="Williams_Unequal lives" sheetId="3" r:id="rId3"/>
  </sheets>
  <definedNames>
    <definedName name="Currency">Williams_NPV!$E$3:$F$3</definedName>
    <definedName name="Williams_CoC">Williams_NPV!$B$1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3" l="1"/>
  <c r="E5" i="3" s="1"/>
  <c r="F13" i="3" s="1"/>
  <c r="G5" i="3"/>
  <c r="G3" i="3"/>
  <c r="Q14" i="2"/>
  <c r="Q10" i="2"/>
  <c r="Q4" i="2"/>
  <c r="P10" i="2"/>
  <c r="P9" i="2"/>
  <c r="P8" i="2"/>
  <c r="P7" i="2"/>
  <c r="P6" i="2"/>
  <c r="P5" i="2"/>
  <c r="P4" i="2"/>
  <c r="O10" i="2"/>
  <c r="O9" i="2"/>
  <c r="O8" i="2"/>
  <c r="O7" i="2"/>
  <c r="O6" i="2"/>
  <c r="O5" i="2"/>
  <c r="O4" i="2"/>
  <c r="J14" i="2"/>
  <c r="K12" i="2"/>
  <c r="K4" i="2"/>
  <c r="J12" i="2"/>
  <c r="J11" i="2"/>
  <c r="J10" i="2"/>
  <c r="J9" i="2"/>
  <c r="J8" i="2"/>
  <c r="J7" i="2"/>
  <c r="J6" i="2"/>
  <c r="J5" i="2"/>
  <c r="J4" i="2"/>
  <c r="I12" i="2"/>
  <c r="I11" i="2"/>
  <c r="I10" i="2"/>
  <c r="I9" i="2"/>
  <c r="I8" i="2"/>
  <c r="I5" i="2"/>
  <c r="I7" i="2"/>
  <c r="I6" i="2"/>
  <c r="I4" i="2"/>
  <c r="C14" i="2"/>
  <c r="B14" i="2"/>
  <c r="E4" i="2"/>
  <c r="E10" i="2" s="1"/>
  <c r="D12" i="2"/>
  <c r="J15" i="1"/>
  <c r="I15" i="1"/>
  <c r="I14" i="1"/>
  <c r="I12" i="1"/>
  <c r="I11" i="1"/>
  <c r="I10" i="1"/>
  <c r="I9" i="1"/>
  <c r="I8" i="1"/>
  <c r="I7" i="1"/>
  <c r="F4" i="1"/>
  <c r="N2" i="1" s="1"/>
  <c r="F6" i="1"/>
  <c r="F5" i="1"/>
  <c r="E4" i="1"/>
  <c r="M2" i="1" s="1"/>
  <c r="E5" i="1"/>
  <c r="E6" i="1"/>
  <c r="I4" i="1"/>
  <c r="I5" i="1"/>
  <c r="I6" i="1"/>
  <c r="E8" i="2" l="1"/>
  <c r="E9" i="2"/>
  <c r="E5" i="2"/>
  <c r="E6" i="2"/>
  <c r="E7" i="2"/>
</calcChain>
</file>

<file path=xl/sharedStrings.xml><?xml version="1.0" encoding="utf-8"?>
<sst xmlns="http://schemas.openxmlformats.org/spreadsheetml/2006/main" count="62" uniqueCount="42">
  <si>
    <t>Cost of Capital</t>
  </si>
  <si>
    <t>Year</t>
  </si>
  <si>
    <t>Project A</t>
  </si>
  <si>
    <t>Project B</t>
  </si>
  <si>
    <t>Initial Investment</t>
  </si>
  <si>
    <t>NPV Interpretation</t>
  </si>
  <si>
    <t>IRR Interpretation</t>
  </si>
  <si>
    <t xml:space="preserve"> According to Project A's NPV, the company's overall value would rise by roughly $510,856, but Project B's NPV indicates that the company's overall value would rise by $431,365. The business should select both prokects if they are independent as their NPVs are both favorable. Project A has a larger NPV, hence the corporation should select it if they are mutually incompatible.</t>
  </si>
  <si>
    <t>MIRR interpretation</t>
  </si>
  <si>
    <t>Over the course of 8 years, Project A is anticipated to yeild an annual rate of return of around 23.51%, whereas Project B is anticipated to yield an annual rate of return of roughly 18.55%. Since both IRRS are higher than the 12.50% cost of captital, the business should select both projects if they are independent. The business should select Project A if they are mutually exclusive since it has a higher NPV and produces a better overall outcome.</t>
  </si>
  <si>
    <t xml:space="preserve">Over the course of 8 years, Project A is anticipated to generate an annual modified rate of return of roughly 17.65%, whereas Project B is anticipated to generate an annual rate of return of roughly 15.43%. Since both MIRRs are higher than the 12.50% cost of capital, the business should select both if they are independent. Project A is favored if tehy are mutually exclusive since it adds greater value. </t>
  </si>
  <si>
    <t>A-B</t>
  </si>
  <si>
    <t>Crossover Rate</t>
  </si>
  <si>
    <t>NPV at crossover</t>
  </si>
  <si>
    <t>The crossover rate is approximately 8.39%. Since both projects have roughly the same NPV at this rate, around $795,035, the business would not care which project it chose at that discount rate. Project A is favored since it has a larger NPV at the needed return and the actual cost of capital is 12.50%, which is higher than the crossover rate.</t>
  </si>
  <si>
    <t>Discount Rate</t>
  </si>
  <si>
    <t>NPV A</t>
  </si>
  <si>
    <t>NPV B</t>
  </si>
  <si>
    <t>Cum A</t>
  </si>
  <si>
    <t>Cum B</t>
  </si>
  <si>
    <t>Interpretation</t>
  </si>
  <si>
    <t>The payback periods for Project A and Project B are approximetly 3.74 and 3.19 years. Project B recovers its initial investment more quickly based only on payback. Nvevertheless, the time calue of money and any cash flows received after payback are not taken into account under the payback approach.</t>
  </si>
  <si>
    <t>Orig A</t>
  </si>
  <si>
    <t>PV of negatives</t>
  </si>
  <si>
    <t>FV of positives</t>
  </si>
  <si>
    <t>Modified CF</t>
  </si>
  <si>
    <t>Orig B</t>
  </si>
  <si>
    <t>MIRR Interpretation</t>
  </si>
  <si>
    <t>Project A MIRR</t>
  </si>
  <si>
    <t>Project B MIRR</t>
  </si>
  <si>
    <t>Project A's MIRR is approximately 17.65% and Project B's MIRR is approximately 15.43% following the cinversion of the orginal cash flows into modifed cash flows. This indicated that when cash flows are adjusted for the cost of capital, Project A yields a higher annualized return.</t>
  </si>
  <si>
    <t>Project A NPV</t>
  </si>
  <si>
    <t>Project A Life</t>
  </si>
  <si>
    <t>Project B Life</t>
  </si>
  <si>
    <t>EAA A</t>
  </si>
  <si>
    <t>EAA B</t>
  </si>
  <si>
    <t>EAA Interpretation</t>
  </si>
  <si>
    <t>With an EAA of roughly $104,640, Project A can produce that much value annually for the course of its eight-year lifespan. With an EAA of roughly $106,409, Project B can produce that much value annually for the course of its six-year lifespan. Project B should be chosen since it has a greater EAA and these projects are mutually incompatible and have equal lifetimes.</t>
  </si>
  <si>
    <t>Project A wins for mutally exclusive projects because it has higher NPV.</t>
  </si>
  <si>
    <t>Project B wins because it has higher equivalent annual annuity.</t>
  </si>
  <si>
    <t>Project B NPV</t>
  </si>
  <si>
    <t>Trial discount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</si>
</sst>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quot;$&quot;#,##0.00"/>
  </numFmts>
  <fonts count="10" x14ac:knownFonts="1">
    <font>
      <sz val="11"/>
      <color theme="1"/>
      <name val="Aptos Narrow"/>
      <family val="2"/>
      <scheme val="minor"/>
    </font>
    <font>
      <i/>
      <u/>
      <sz val="11"/>
      <color theme="1"/>
      <name val="Times New Roman"/>
      <family val="1"/>
    </font>
    <font>
      <sz val="11"/>
      <color rgb="FF000000"/>
      <name val="Calibri"/>
      <family val="2"/>
    </font>
    <font>
      <sz val="10"/>
      <color rgb="FFFF0000"/>
      <name val="Arial"/>
      <family val="2"/>
    </font>
    <font>
      <sz val="10"/>
      <color rgb="FF003366"/>
      <name val="Arial"/>
      <family val="2"/>
    </font>
    <font>
      <b/>
      <sz val="11"/>
      <color theme="1"/>
      <name val="Aptos Narrow"/>
      <scheme val="minor"/>
    </font>
    <font>
      <sz val="11"/>
      <color theme="1"/>
      <name val="Aptos Narrow"/>
      <family val="2"/>
      <scheme val="minor"/>
    </font>
    <font>
      <u/>
      <sz val="11"/>
      <color theme="1"/>
      <name val="Aptos Narrow (Body)"/>
    </font>
    <font>
      <sz val="11"/>
      <color theme="1"/>
      <name val="Times New Roman"/>
      <family val="1"/>
    </font>
    <font>
      <b/>
      <sz val="11"/>
      <color theme="1"/>
      <name val="Times New Roman"/>
      <family val="1"/>
    </font>
  </fonts>
  <fills count="2">
    <fill>
      <patternFill patternType="none"/>
    </fill>
    <fill>
      <patternFill patternType="gray125"/>
    </fill>
  </fills>
  <borders count="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44" fontId="6" fillId="0" borderId="0" applyFont="0" applyFill="0" applyBorder="0" applyAlignment="0" applyProtection="0"/>
  </cellStyleXfs>
  <cellXfs count="22">
    <xf numFmtId="0" fontId="0" fillId="0" borderId="0" xfId="0"/>
    <xf numFmtId="0" fontId="0" fillId="0" borderId="1" xfId="0" applyBorder="1" applyAlignment="1">
      <alignment vertical="center"/>
    </xf>
    <xf numFmtId="10" fontId="0" fillId="0" borderId="0" xfId="0" applyNumberFormat="1"/>
    <xf numFmtId="0" fontId="1" fillId="0" borderId="2" xfId="0" applyFont="1" applyBorder="1" applyAlignment="1">
      <alignment vertical="center" wrapText="1"/>
    </xf>
    <xf numFmtId="0" fontId="2" fillId="0" borderId="2" xfId="0" applyFont="1" applyBorder="1" applyAlignment="1">
      <alignment vertical="center" wrapText="1"/>
    </xf>
    <xf numFmtId="6" fontId="3" fillId="0" borderId="2" xfId="0" applyNumberFormat="1" applyFont="1" applyBorder="1" applyAlignment="1">
      <alignment horizontal="right" vertical="center" wrapText="1"/>
    </xf>
    <xf numFmtId="0" fontId="2" fillId="0" borderId="2" xfId="0" applyFont="1" applyBorder="1" applyAlignment="1">
      <alignment horizontal="center" vertical="center" wrapText="1"/>
    </xf>
    <xf numFmtId="6" fontId="4" fillId="0" borderId="2" xfId="0" applyNumberFormat="1" applyFont="1" applyBorder="1" applyAlignment="1">
      <alignment horizontal="right" vertical="center" wrapText="1"/>
    </xf>
    <xf numFmtId="6" fontId="0" fillId="0" borderId="0" xfId="0" applyNumberFormat="1"/>
    <xf numFmtId="8" fontId="0" fillId="0" borderId="0" xfId="0" applyNumberFormat="1"/>
    <xf numFmtId="9" fontId="0" fillId="0" borderId="0" xfId="0" applyNumberFormat="1"/>
    <xf numFmtId="0" fontId="0" fillId="0" borderId="0" xfId="0" applyAlignment="1">
      <alignment wrapText="1"/>
    </xf>
    <xf numFmtId="0" fontId="5" fillId="0" borderId="0" xfId="0" applyFont="1"/>
    <xf numFmtId="164" fontId="0" fillId="0" borderId="0" xfId="0" applyNumberFormat="1"/>
    <xf numFmtId="164" fontId="0" fillId="0" borderId="0" xfId="1" applyNumberFormat="1" applyFont="1"/>
    <xf numFmtId="0" fontId="1" fillId="0" borderId="3" xfId="0" applyFont="1" applyBorder="1" applyAlignment="1">
      <alignment vertical="center" wrapText="1"/>
    </xf>
    <xf numFmtId="0" fontId="1" fillId="0" borderId="0" xfId="0" applyFont="1" applyAlignment="1">
      <alignment vertical="center" wrapText="1"/>
    </xf>
    <xf numFmtId="0" fontId="7" fillId="0" borderId="0" xfId="0" applyFont="1" applyAlignment="1">
      <alignment wrapText="1"/>
    </xf>
    <xf numFmtId="8" fontId="5" fillId="0" borderId="0" xfId="0" applyNumberFormat="1" applyFont="1"/>
    <xf numFmtId="0" fontId="9" fillId="0" borderId="1" xfId="0" applyFont="1" applyFill="1" applyBorder="1" applyAlignment="1">
      <alignment vertical="center" wrapText="1"/>
    </xf>
    <xf numFmtId="8" fontId="8" fillId="0" borderId="1" xfId="0" applyNumberFormat="1" applyFont="1" applyFill="1" applyBorder="1" applyAlignment="1">
      <alignment vertical="center" wrapText="1"/>
    </xf>
    <xf numFmtId="6" fontId="5" fillId="0" borderId="0" xfId="0" applyNumberFormat="1"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NPV</a:t>
            </a:r>
            <a:r>
              <a:rPr lang="en-US" baseline="0"/>
              <a:t> Profiles for Project A and Project B</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Williams_NPV!$L$2:$L$16</c:f>
              <c:numCache>
                <c:formatCode>0%</c:formatCode>
                <c:ptCount val="15"/>
                <c:pt idx="0">
                  <c:v>0</c:v>
                </c:pt>
                <c:pt idx="1">
                  <c:v>0.02</c:v>
                </c:pt>
                <c:pt idx="2">
                  <c:v>0.04</c:v>
                </c:pt>
                <c:pt idx="3">
                  <c:v>0.06</c:v>
                </c:pt>
                <c:pt idx="4">
                  <c:v>0.08</c:v>
                </c:pt>
                <c:pt idx="5">
                  <c:v>0.1</c:v>
                </c:pt>
                <c:pt idx="6">
                  <c:v>0.12</c:v>
                </c:pt>
                <c:pt idx="7">
                  <c:v>0.14000000000000001</c:v>
                </c:pt>
                <c:pt idx="8">
                  <c:v>0.16</c:v>
                </c:pt>
                <c:pt idx="9">
                  <c:v>0.18</c:v>
                </c:pt>
                <c:pt idx="10">
                  <c:v>0.2</c:v>
                </c:pt>
                <c:pt idx="11">
                  <c:v>0.22</c:v>
                </c:pt>
                <c:pt idx="12">
                  <c:v>0.24</c:v>
                </c:pt>
                <c:pt idx="13">
                  <c:v>0.26</c:v>
                </c:pt>
                <c:pt idx="14">
                  <c:v>0.28000000000000003</c:v>
                </c:pt>
              </c:numCache>
            </c:numRef>
          </c:xVal>
          <c:yVal>
            <c:numRef>
              <c:f>Williams_NPV!$M$2:$M$16</c:f>
              <c:numCache>
                <c:formatCode>"$"#,##0.00</c:formatCode>
                <c:ptCount val="15"/>
                <c:pt idx="0" formatCode="&quot;$&quot;#,##0.00_);[Red]\(&quot;$&quot;#,##0.00\)">
                  <c:v>510855.57104337867</c:v>
                </c:pt>
                <c:pt idx="1">
                  <c:v>1404134.5618503336</c:v>
                </c:pt>
                <c:pt idx="2">
                  <c:v>1186679.7741542323</c:v>
                </c:pt>
                <c:pt idx="3">
                  <c:v>995166.58446108131</c:v>
                </c:pt>
                <c:pt idx="4">
                  <c:v>825871.54477741895</c:v>
                </c:pt>
                <c:pt idx="5">
                  <c:v>675679.34133785614</c:v>
                </c:pt>
                <c:pt idx="6">
                  <c:v>541972.87429108797</c:v>
                </c:pt>
                <c:pt idx="7">
                  <c:v>422544.95444331644</c:v>
                </c:pt>
                <c:pt idx="8">
                  <c:v>315527.04542673007</c:v>
                </c:pt>
                <c:pt idx="9">
                  <c:v>219331.51035240898</c:v>
                </c:pt>
                <c:pt idx="10">
                  <c:v>132604.60664818622</c:v>
                </c:pt>
                <c:pt idx="11">
                  <c:v>54188.073227960616</c:v>
                </c:pt>
                <c:pt idx="12">
                  <c:v>-16912.384055769769</c:v>
                </c:pt>
                <c:pt idx="13">
                  <c:v>-81553.045820438536</c:v>
                </c:pt>
                <c:pt idx="14">
                  <c:v>-140473.63143905473</c:v>
                </c:pt>
              </c:numCache>
            </c:numRef>
          </c:yVal>
          <c:smooth val="0"/>
          <c:extLst>
            <c:ext xmlns:c16="http://schemas.microsoft.com/office/drawing/2014/chart" uri="{C3380CC4-5D6E-409C-BE32-E72D297353CC}">
              <c16:uniqueId val="{00000000-6653-484D-8228-E9989A0A9B40}"/>
            </c:ext>
          </c:extLst>
        </c:ser>
        <c:ser>
          <c:idx val="1"/>
          <c:order val="1"/>
          <c:spPr>
            <a:ln w="19050" cap="rnd">
              <a:solidFill>
                <a:schemeClr val="accent2"/>
              </a:solidFill>
              <a:round/>
            </a:ln>
            <a:effectLst/>
          </c:spPr>
          <c:marker>
            <c:symbol val="none"/>
          </c:marker>
          <c:xVal>
            <c:numRef>
              <c:f>Williams_NPV!$L$2:$L$16</c:f>
              <c:numCache>
                <c:formatCode>0%</c:formatCode>
                <c:ptCount val="15"/>
                <c:pt idx="0">
                  <c:v>0</c:v>
                </c:pt>
                <c:pt idx="1">
                  <c:v>0.02</c:v>
                </c:pt>
                <c:pt idx="2">
                  <c:v>0.04</c:v>
                </c:pt>
                <c:pt idx="3">
                  <c:v>0.06</c:v>
                </c:pt>
                <c:pt idx="4">
                  <c:v>0.08</c:v>
                </c:pt>
                <c:pt idx="5">
                  <c:v>0.1</c:v>
                </c:pt>
                <c:pt idx="6">
                  <c:v>0.12</c:v>
                </c:pt>
                <c:pt idx="7">
                  <c:v>0.14000000000000001</c:v>
                </c:pt>
                <c:pt idx="8">
                  <c:v>0.16</c:v>
                </c:pt>
                <c:pt idx="9">
                  <c:v>0.18</c:v>
                </c:pt>
                <c:pt idx="10">
                  <c:v>0.2</c:v>
                </c:pt>
                <c:pt idx="11">
                  <c:v>0.22</c:v>
                </c:pt>
                <c:pt idx="12">
                  <c:v>0.24</c:v>
                </c:pt>
                <c:pt idx="13">
                  <c:v>0.26</c:v>
                </c:pt>
                <c:pt idx="14">
                  <c:v>0.28000000000000003</c:v>
                </c:pt>
              </c:numCache>
            </c:numRef>
          </c:xVal>
          <c:yVal>
            <c:numRef>
              <c:f>Williams_NPV!$N$2:$N$16</c:f>
              <c:numCache>
                <c:formatCode>"$"#,##0.00</c:formatCode>
                <c:ptCount val="15"/>
                <c:pt idx="0" formatCode="&quot;$&quot;#,##0.00_);[Red]\(&quot;$&quot;#,##0.00\)">
                  <c:v>431364.86082180357</c:v>
                </c:pt>
                <c:pt idx="1">
                  <c:v>1517511.8619874748</c:v>
                </c:pt>
                <c:pt idx="2">
                  <c:v>1267243.3931894749</c:v>
                </c:pt>
                <c:pt idx="3">
                  <c:v>1040080.987652048</c:v>
                </c:pt>
                <c:pt idx="4">
                  <c:v>833343.84899297263</c:v>
                </c:pt>
                <c:pt idx="5">
                  <c:v>644716.00074736262</c:v>
                </c:pt>
                <c:pt idx="6">
                  <c:v>472190.10636495287</c:v>
                </c:pt>
                <c:pt idx="7">
                  <c:v>314020.86436812999</c:v>
                </c:pt>
                <c:pt idx="8">
                  <c:v>168686.19967575278</c:v>
                </c:pt>
                <c:pt idx="9">
                  <c:v>34854.828404872678</c:v>
                </c:pt>
                <c:pt idx="10">
                  <c:v>-88640.94650205737</c:v>
                </c:pt>
                <c:pt idx="11">
                  <c:v>-202828.13038267288</c:v>
                </c:pt>
                <c:pt idx="12">
                  <c:v>-308612.36892379727</c:v>
                </c:pt>
                <c:pt idx="13">
                  <c:v>-406794.32380024111</c:v>
                </c:pt>
                <c:pt idx="14">
                  <c:v>-498083.58683995903</c:v>
                </c:pt>
              </c:numCache>
            </c:numRef>
          </c:yVal>
          <c:smooth val="0"/>
          <c:extLst>
            <c:ext xmlns:c16="http://schemas.microsoft.com/office/drawing/2014/chart" uri="{C3380CC4-5D6E-409C-BE32-E72D297353CC}">
              <c16:uniqueId val="{00000001-6653-484D-8228-E9989A0A9B40}"/>
            </c:ext>
          </c:extLst>
        </c:ser>
        <c:dLbls>
          <c:showLegendKey val="0"/>
          <c:showVal val="0"/>
          <c:showCatName val="0"/>
          <c:showSerName val="0"/>
          <c:showPercent val="0"/>
          <c:showBubbleSize val="0"/>
        </c:dLbls>
        <c:axId val="1694040511"/>
        <c:axId val="1694047679"/>
      </c:scatterChart>
      <c:valAx>
        <c:axId val="16940405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Rate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047679"/>
        <c:crosses val="autoZero"/>
        <c:crossBetween val="midCat"/>
      </c:valAx>
      <c:valAx>
        <c:axId val="1694047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NPV</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_);[Red]\(&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040511"/>
        <c:crosses val="autoZero"/>
        <c:crossBetween val="midCat"/>
      </c:valAx>
      <c:spPr>
        <a:noFill/>
        <a:ln>
          <a:noFill/>
        </a:ln>
        <a:effectLst/>
      </c:spPr>
    </c:plotArea>
    <c:legend>
      <c:legendPos val="b"/>
      <c:layout>
        <c:manualLayout>
          <c:xMode val="edge"/>
          <c:yMode val="edge"/>
          <c:x val="0.36972200349956258"/>
          <c:y val="0.82002260134149896"/>
          <c:w val="0.33833377077865268"/>
          <c:h val="0.161458880139982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69850</xdr:colOff>
      <xdr:row>4</xdr:row>
      <xdr:rowOff>25400</xdr:rowOff>
    </xdr:from>
    <xdr:to>
      <xdr:col>26</xdr:col>
      <xdr:colOff>25400</xdr:colOff>
      <xdr:row>14</xdr:row>
      <xdr:rowOff>12700</xdr:rowOff>
    </xdr:to>
    <xdr:graphicFrame macro="">
      <xdr:nvGraphicFramePr>
        <xdr:cNvPr id="3" name="Chart 2">
          <a:extLst>
            <a:ext uri="{FF2B5EF4-FFF2-40B4-BE49-F238E27FC236}">
              <a16:creationId xmlns:a16="http://schemas.microsoft.com/office/drawing/2014/main" id="{92205131-2E80-4DA8-081A-BE2234035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FA36C-BC96-4E8C-94E0-46DFD2659439}">
  <dimension ref="A1:N17"/>
  <sheetViews>
    <sheetView tabSelected="1" workbookViewId="0">
      <selection activeCell="J20" sqref="J20"/>
    </sheetView>
  </sheetViews>
  <sheetFormatPr baseColWidth="10" defaultColWidth="8.83203125" defaultRowHeight="15" x14ac:dyDescent="0.2"/>
  <cols>
    <col min="1" max="1" width="17.1640625" customWidth="1"/>
    <col min="2" max="2" width="16.5" customWidth="1"/>
    <col min="3" max="3" width="15.83203125" customWidth="1"/>
    <col min="4" max="4" width="14.1640625" customWidth="1"/>
    <col min="5" max="6" width="11.6640625" bestFit="1" customWidth="1"/>
    <col min="8" max="8" width="13.83203125" customWidth="1"/>
    <col min="9" max="9" width="11.6640625" bestFit="1" customWidth="1"/>
    <col min="10" max="10" width="11.6640625" customWidth="1"/>
    <col min="12" max="12" width="11.6640625" customWidth="1"/>
    <col min="13" max="13" width="13.83203125" bestFit="1" customWidth="1"/>
    <col min="14" max="14" width="12.6640625" bestFit="1" customWidth="1"/>
  </cols>
  <sheetData>
    <row r="1" spans="1:14" x14ac:dyDescent="0.2">
      <c r="A1" s="1" t="s">
        <v>0</v>
      </c>
      <c r="B1" s="2">
        <v>0.125</v>
      </c>
      <c r="L1" s="12" t="s">
        <v>15</v>
      </c>
      <c r="M1" s="12" t="s">
        <v>16</v>
      </c>
      <c r="N1" s="12" t="s">
        <v>17</v>
      </c>
    </row>
    <row r="2" spans="1:14" x14ac:dyDescent="0.2">
      <c r="A2" s="1"/>
      <c r="L2" s="10">
        <v>0</v>
      </c>
      <c r="M2" s="9">
        <f>E4</f>
        <v>510855.57104337867</v>
      </c>
      <c r="N2" s="9">
        <f>F4</f>
        <v>431364.86082180357</v>
      </c>
    </row>
    <row r="3" spans="1:14" x14ac:dyDescent="0.2">
      <c r="A3" s="3" t="s">
        <v>1</v>
      </c>
      <c r="B3" s="3" t="s">
        <v>2</v>
      </c>
      <c r="C3" s="3" t="s">
        <v>3</v>
      </c>
      <c r="D3" s="9"/>
      <c r="E3" s="18" t="s">
        <v>2</v>
      </c>
      <c r="F3" s="18" t="s">
        <v>3</v>
      </c>
      <c r="H3" s="18" t="s">
        <v>1</v>
      </c>
      <c r="I3" s="21" t="s">
        <v>11</v>
      </c>
      <c r="J3" s="9"/>
      <c r="L3" s="10">
        <v>0.02</v>
      </c>
      <c r="M3" s="14">
        <f t="dataTable" ref="M3:N16" dt2D="0" dtr="0" r1="B1"/>
        <v>1404134.5618503336</v>
      </c>
      <c r="N3" s="13">
        <v>1517511.8619874748</v>
      </c>
    </row>
    <row r="4" spans="1:14" ht="16" x14ac:dyDescent="0.2">
      <c r="A4" s="4" t="s">
        <v>4</v>
      </c>
      <c r="B4" s="5">
        <v>-1186000</v>
      </c>
      <c r="C4" s="5">
        <v>-2587000</v>
      </c>
      <c r="E4" s="13">
        <f>NPV(Williams_CoC,B5:B12)+B4</f>
        <v>510855.57104337867</v>
      </c>
      <c r="F4" s="13">
        <f>NPV(Williams_CoC,C5:C10)+C4</f>
        <v>431364.86082180357</v>
      </c>
      <c r="H4">
        <v>0</v>
      </c>
      <c r="I4" s="8">
        <f t="shared" ref="I4:I10" si="0">B4-C4</f>
        <v>1401000</v>
      </c>
      <c r="L4" s="10">
        <v>0.04</v>
      </c>
      <c r="M4" s="13">
        <v>1186679.7741542323</v>
      </c>
      <c r="N4" s="13">
        <v>1267243.3931894749</v>
      </c>
    </row>
    <row r="5" spans="1:14" x14ac:dyDescent="0.2">
      <c r="A5" s="6">
        <v>1</v>
      </c>
      <c r="B5" s="7">
        <v>319000</v>
      </c>
      <c r="C5" s="7">
        <v>723000</v>
      </c>
      <c r="E5" s="10">
        <f>IRR(B4:B12)</f>
        <v>0.23506511030838428</v>
      </c>
      <c r="F5" s="10">
        <f>IRR(C4:C10)</f>
        <v>0.18548553060453155</v>
      </c>
      <c r="G5" s="10"/>
      <c r="H5">
        <v>1</v>
      </c>
      <c r="I5" s="8">
        <f t="shared" si="0"/>
        <v>-404000</v>
      </c>
      <c r="L5" s="10">
        <v>0.06</v>
      </c>
      <c r="M5" s="13">
        <v>995166.58446108131</v>
      </c>
      <c r="N5" s="13">
        <v>1040080.987652048</v>
      </c>
    </row>
    <row r="6" spans="1:14" x14ac:dyDescent="0.2">
      <c r="A6" s="6">
        <v>2</v>
      </c>
      <c r="B6" s="7">
        <v>319000</v>
      </c>
      <c r="C6" s="7">
        <v>873000</v>
      </c>
      <c r="E6" s="10">
        <f>MIRR(B4:B12,Williams_CoC,Williams_CoC)</f>
        <v>0.17651521009949844</v>
      </c>
      <c r="F6" s="10">
        <f>MIRR(C4:C10,Williams_CoC,Williams_CoC)</f>
        <v>0.15429037334070572</v>
      </c>
      <c r="H6">
        <v>2</v>
      </c>
      <c r="I6" s="8">
        <f t="shared" si="0"/>
        <v>-554000</v>
      </c>
      <c r="L6" s="10">
        <v>0.08</v>
      </c>
      <c r="M6" s="13">
        <v>825871.54477741895</v>
      </c>
      <c r="N6" s="13">
        <v>833343.84899297263</v>
      </c>
    </row>
    <row r="7" spans="1:14" x14ac:dyDescent="0.2">
      <c r="A7" s="6">
        <v>3</v>
      </c>
      <c r="B7" s="7">
        <v>339000</v>
      </c>
      <c r="C7" s="7">
        <v>864000</v>
      </c>
      <c r="H7">
        <v>3</v>
      </c>
      <c r="I7" s="8">
        <f t="shared" si="0"/>
        <v>-525000</v>
      </c>
      <c r="L7" s="10">
        <v>0.1</v>
      </c>
      <c r="M7" s="13">
        <v>675679.34133785614</v>
      </c>
      <c r="N7" s="13">
        <v>644716.00074736262</v>
      </c>
    </row>
    <row r="8" spans="1:14" x14ac:dyDescent="0.2">
      <c r="A8" s="6">
        <v>4</v>
      </c>
      <c r="B8" s="7">
        <v>284000</v>
      </c>
      <c r="C8" s="7">
        <v>674000</v>
      </c>
      <c r="D8" s="11"/>
      <c r="H8">
        <v>4</v>
      </c>
      <c r="I8" s="8">
        <f t="shared" si="0"/>
        <v>-390000</v>
      </c>
      <c r="L8" s="10">
        <v>0.12</v>
      </c>
      <c r="M8" s="13">
        <v>541972.87429108797</v>
      </c>
      <c r="N8" s="13">
        <v>472190.10636495287</v>
      </c>
    </row>
    <row r="9" spans="1:14" x14ac:dyDescent="0.2">
      <c r="A9" s="6">
        <v>5</v>
      </c>
      <c r="B9" s="7">
        <v>399000</v>
      </c>
      <c r="C9" s="7">
        <v>701000</v>
      </c>
      <c r="H9">
        <v>5</v>
      </c>
      <c r="I9" s="8">
        <f t="shared" si="0"/>
        <v>-302000</v>
      </c>
      <c r="L9" s="10">
        <v>0.14000000000000001</v>
      </c>
      <c r="M9" s="13">
        <v>422544.95444331644</v>
      </c>
      <c r="N9" s="13">
        <v>314020.86436812999</v>
      </c>
    </row>
    <row r="10" spans="1:14" x14ac:dyDescent="0.2">
      <c r="A10" s="6">
        <v>6</v>
      </c>
      <c r="B10" s="7">
        <v>407000</v>
      </c>
      <c r="C10" s="7">
        <v>546000</v>
      </c>
      <c r="H10">
        <v>6</v>
      </c>
      <c r="I10" s="8">
        <f t="shared" si="0"/>
        <v>-139000</v>
      </c>
      <c r="L10" s="10">
        <v>0.16</v>
      </c>
      <c r="M10" s="13">
        <v>315527.04542673007</v>
      </c>
      <c r="N10" s="13">
        <v>168686.19967575278</v>
      </c>
    </row>
    <row r="11" spans="1:14" x14ac:dyDescent="0.2">
      <c r="A11" s="6">
        <v>7</v>
      </c>
      <c r="B11" s="7">
        <v>476000</v>
      </c>
      <c r="C11" s="7"/>
      <c r="H11">
        <v>7</v>
      </c>
      <c r="I11" s="8">
        <f>B11</f>
        <v>476000</v>
      </c>
      <c r="L11" s="10">
        <v>0.18</v>
      </c>
      <c r="M11" s="13">
        <v>219331.51035240898</v>
      </c>
      <c r="N11" s="13">
        <v>34854.828404872678</v>
      </c>
    </row>
    <row r="12" spans="1:14" x14ac:dyDescent="0.2">
      <c r="A12" s="6">
        <v>8</v>
      </c>
      <c r="B12" s="7">
        <v>295000</v>
      </c>
      <c r="C12" s="7"/>
      <c r="H12">
        <v>8</v>
      </c>
      <c r="I12" s="8">
        <f>B12</f>
        <v>295000</v>
      </c>
      <c r="L12" s="10">
        <v>0.2</v>
      </c>
      <c r="M12" s="13">
        <v>132604.60664818622</v>
      </c>
      <c r="N12" s="13">
        <v>-88640.94650205737</v>
      </c>
    </row>
    <row r="13" spans="1:14" x14ac:dyDescent="0.2">
      <c r="B13" s="12" t="s">
        <v>5</v>
      </c>
      <c r="C13" s="12" t="s">
        <v>6</v>
      </c>
      <c r="D13" s="12" t="s">
        <v>8</v>
      </c>
      <c r="L13" s="10">
        <v>0.22</v>
      </c>
      <c r="M13" s="13">
        <v>54188.073227960616</v>
      </c>
      <c r="N13" s="13">
        <v>-202828.13038267288</v>
      </c>
    </row>
    <row r="14" spans="1:14" ht="409.6" x14ac:dyDescent="0.2">
      <c r="A14" s="12"/>
      <c r="B14" s="11" t="s">
        <v>7</v>
      </c>
      <c r="C14" s="11" t="s">
        <v>9</v>
      </c>
      <c r="D14" s="11" t="s">
        <v>10</v>
      </c>
      <c r="H14" s="12" t="s">
        <v>12</v>
      </c>
      <c r="I14" s="10">
        <f>IRR(I4:I12)</f>
        <v>8.3917725641960539E-2</v>
      </c>
      <c r="J14" s="11" t="s">
        <v>14</v>
      </c>
      <c r="K14" s="11"/>
      <c r="L14" s="10">
        <v>0.24</v>
      </c>
      <c r="M14" s="13">
        <v>-16912.384055769769</v>
      </c>
      <c r="N14" s="13">
        <v>-308612.36892379727</v>
      </c>
    </row>
    <row r="15" spans="1:14" x14ac:dyDescent="0.2">
      <c r="A15" s="12"/>
      <c r="H15" s="12" t="s">
        <v>13</v>
      </c>
      <c r="I15" s="9">
        <f>NPV(I14,B5:B12)+B4</f>
        <v>795035.07563936384</v>
      </c>
      <c r="J15" s="9">
        <f>NPV(I14,C5:C10)+C4</f>
        <v>795035.07563932147</v>
      </c>
      <c r="L15" s="10">
        <v>0.26</v>
      </c>
      <c r="M15" s="13">
        <v>-81553.045820438536</v>
      </c>
      <c r="N15" s="13">
        <v>-406794.32380024111</v>
      </c>
    </row>
    <row r="16" spans="1:14" x14ac:dyDescent="0.2">
      <c r="B16" s="12" t="s">
        <v>38</v>
      </c>
      <c r="H16" s="12" t="s">
        <v>41</v>
      </c>
      <c r="L16" s="10">
        <v>0.28000000000000003</v>
      </c>
      <c r="M16" s="13">
        <v>-140473.63143905473</v>
      </c>
      <c r="N16" s="13">
        <v>-498083.58683995903</v>
      </c>
    </row>
    <row r="17" spans="12:14" x14ac:dyDescent="0.2">
      <c r="L17" s="10"/>
      <c r="M17" s="13"/>
      <c r="N17" s="1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3FAD-D017-46A0-AFD6-FB3D321F9375}">
  <dimension ref="A1:Q16"/>
  <sheetViews>
    <sheetView workbookViewId="0">
      <selection activeCell="P15" sqref="P15"/>
    </sheetView>
  </sheetViews>
  <sheetFormatPr baseColWidth="10" defaultColWidth="8.83203125" defaultRowHeight="15" x14ac:dyDescent="0.2"/>
  <cols>
    <col min="1" max="1" width="13.1640625" customWidth="1"/>
    <col min="2" max="2" width="13.33203125" customWidth="1"/>
    <col min="3" max="5" width="11.1640625" bestFit="1" customWidth="1"/>
    <col min="8" max="8" width="11.1640625" bestFit="1" customWidth="1"/>
    <col min="9" max="9" width="12.5" customWidth="1"/>
    <col min="14" max="14" width="11.1640625" bestFit="1" customWidth="1"/>
    <col min="16" max="16" width="12.6640625" customWidth="1"/>
  </cols>
  <sheetData>
    <row r="1" spans="1:17" x14ac:dyDescent="0.2">
      <c r="A1" s="1" t="s">
        <v>0</v>
      </c>
      <c r="B1" s="2">
        <v>0.125</v>
      </c>
    </row>
    <row r="2" spans="1:17" x14ac:dyDescent="0.2">
      <c r="A2" s="1"/>
    </row>
    <row r="3" spans="1:17" ht="30" x14ac:dyDescent="0.2">
      <c r="A3" s="3" t="s">
        <v>1</v>
      </c>
      <c r="B3" s="3" t="s">
        <v>2</v>
      </c>
      <c r="C3" s="3" t="s">
        <v>3</v>
      </c>
      <c r="D3" s="15" t="s">
        <v>18</v>
      </c>
      <c r="E3" s="15" t="s">
        <v>19</v>
      </c>
      <c r="G3" s="17" t="s">
        <v>1</v>
      </c>
      <c r="H3" s="16" t="s">
        <v>22</v>
      </c>
      <c r="I3" s="16" t="s">
        <v>23</v>
      </c>
      <c r="J3" s="16" t="s">
        <v>24</v>
      </c>
      <c r="K3" s="16" t="s">
        <v>25</v>
      </c>
      <c r="M3" s="16" t="s">
        <v>1</v>
      </c>
      <c r="N3" s="16" t="s">
        <v>26</v>
      </c>
      <c r="O3" s="16" t="s">
        <v>23</v>
      </c>
      <c r="P3" s="16" t="s">
        <v>24</v>
      </c>
      <c r="Q3" s="16" t="s">
        <v>25</v>
      </c>
    </row>
    <row r="4" spans="1:17" ht="48" x14ac:dyDescent="0.2">
      <c r="A4" s="4" t="s">
        <v>4</v>
      </c>
      <c r="B4" s="5">
        <v>-1186000</v>
      </c>
      <c r="C4" s="5">
        <v>-2587000</v>
      </c>
      <c r="D4" s="8"/>
      <c r="E4" s="8">
        <f>C4</f>
        <v>-2587000</v>
      </c>
      <c r="G4" s="4" t="s">
        <v>4</v>
      </c>
      <c r="H4" s="5">
        <v>-1186000</v>
      </c>
      <c r="I4">
        <f>IF(H4&lt;0,H4/(1+Williams_CoC)^0,0)</f>
        <v>-1186000</v>
      </c>
      <c r="J4">
        <f>IF(H4&gt;0,H4*(Williams_CoC)^($G$12-G4),0)</f>
        <v>0</v>
      </c>
      <c r="K4">
        <f>SUM(I4:I12)</f>
        <v>-1186000</v>
      </c>
      <c r="M4" s="4" t="s">
        <v>4</v>
      </c>
      <c r="N4" s="5">
        <v>-2587000</v>
      </c>
      <c r="O4">
        <f>IF(N4&lt;0,N4/(1+Williams_CoC)^0,0)</f>
        <v>-2587000</v>
      </c>
      <c r="P4">
        <f>IF(N4&gt;0,N4*(1+Williams_CoC)^($M$10-M4),0)</f>
        <v>0</v>
      </c>
      <c r="Q4">
        <f>SUM(O4:O10)</f>
        <v>-2587000</v>
      </c>
    </row>
    <row r="5" spans="1:17" x14ac:dyDescent="0.2">
      <c r="A5" s="6">
        <v>1</v>
      </c>
      <c r="B5" s="7">
        <v>319000</v>
      </c>
      <c r="C5" s="7">
        <v>723000</v>
      </c>
      <c r="D5" s="8"/>
      <c r="E5" s="8">
        <f>E4+C5</f>
        <v>-1864000</v>
      </c>
      <c r="G5" s="6">
        <v>1</v>
      </c>
      <c r="H5" s="7">
        <v>319000</v>
      </c>
      <c r="I5">
        <f>IF(H5&lt;0,H5/(1+Williams_CoC)^G5,0)</f>
        <v>0</v>
      </c>
      <c r="J5">
        <f>IF(H5&gt;0,H5*(1+Williams_CoC)^($G$12-G5),0)</f>
        <v>727542.45328903198</v>
      </c>
      <c r="K5">
        <v>0</v>
      </c>
      <c r="M5" s="6">
        <v>1</v>
      </c>
      <c r="N5" s="7">
        <v>723000</v>
      </c>
      <c r="O5">
        <f>IF(N5&lt;0,N5/(1+Williams_CoC)^M5,0)</f>
        <v>0</v>
      </c>
      <c r="P5">
        <f>IF(N5&gt;0,N5*(1+Williams_CoC)^($M$10-M5),0)</f>
        <v>1302869.4763183594</v>
      </c>
      <c r="Q5">
        <v>0</v>
      </c>
    </row>
    <row r="6" spans="1:17" x14ac:dyDescent="0.2">
      <c r="A6" s="6">
        <v>2</v>
      </c>
      <c r="B6" s="7">
        <v>319000</v>
      </c>
      <c r="C6" s="7">
        <v>873000</v>
      </c>
      <c r="D6" s="8"/>
      <c r="E6" s="8">
        <f>E4+C6</f>
        <v>-1714000</v>
      </c>
      <c r="G6" s="6">
        <v>2</v>
      </c>
      <c r="H6" s="7">
        <v>319000</v>
      </c>
      <c r="I6">
        <f>IF(H6&lt;0,H6/(1+Williams_CoC)^G6,0)</f>
        <v>0</v>
      </c>
      <c r="J6">
        <f>IF(H6&gt;0,H6*(1+Williams_CoC)^($G$12-G6),0)</f>
        <v>646704.40292358398</v>
      </c>
      <c r="K6">
        <v>0</v>
      </c>
      <c r="M6" s="6">
        <v>2</v>
      </c>
      <c r="N6" s="7">
        <v>873000</v>
      </c>
      <c r="O6">
        <f>IF(N6&lt;0,N6/(1+Williams_CoC)^M6,0)</f>
        <v>0</v>
      </c>
      <c r="P6">
        <f>IF(N6&gt;0,N6*(1+Williams_CoC)^($M$10-M6),0)</f>
        <v>1398377.197265625</v>
      </c>
      <c r="Q6">
        <v>0</v>
      </c>
    </row>
    <row r="7" spans="1:17" x14ac:dyDescent="0.2">
      <c r="A7" s="6">
        <v>3</v>
      </c>
      <c r="B7" s="7">
        <v>339000</v>
      </c>
      <c r="C7" s="7">
        <v>864000</v>
      </c>
      <c r="D7" s="8"/>
      <c r="E7" s="8">
        <f>E4+C7</f>
        <v>-1723000</v>
      </c>
      <c r="G7" s="6">
        <v>3</v>
      </c>
      <c r="H7" s="7">
        <v>339000</v>
      </c>
      <c r="I7">
        <f>IF(H7&lt;0,H7/(1+Williams_CoC)^G7,0)</f>
        <v>0</v>
      </c>
      <c r="J7">
        <f>IF(H7&gt;0,H7*(1+Williams_CoC)^($G$12-G7),0)</f>
        <v>610889.00756835938</v>
      </c>
      <c r="K7">
        <v>0</v>
      </c>
      <c r="M7" s="6">
        <v>3</v>
      </c>
      <c r="N7" s="7">
        <v>864000</v>
      </c>
      <c r="O7">
        <f>IF(N7&lt;0,N7/(1+Williams_CoC)^M7,0)</f>
        <v>0</v>
      </c>
      <c r="P7">
        <f>IF(N7&gt;0,N7*(1+Williams_CoC)^($M$10-M7),0)</f>
        <v>1230187.5</v>
      </c>
      <c r="Q7">
        <v>0</v>
      </c>
    </row>
    <row r="8" spans="1:17" x14ac:dyDescent="0.2">
      <c r="A8" s="6">
        <v>4</v>
      </c>
      <c r="B8" s="7">
        <v>284000</v>
      </c>
      <c r="C8" s="7">
        <v>674000</v>
      </c>
      <c r="D8" s="8"/>
      <c r="E8" s="8">
        <f>E4+C8</f>
        <v>-1913000</v>
      </c>
      <c r="G8" s="6">
        <v>4</v>
      </c>
      <c r="H8" s="7">
        <v>284000</v>
      </c>
      <c r="I8">
        <f>IF(H8&lt;0,H8/(1+Williams_CoC)^G8,0)</f>
        <v>0</v>
      </c>
      <c r="J8">
        <f>IF(H8&gt;0,H8*(1+Williams_CoC)^($G$12-G8),0)</f>
        <v>454913.0859375</v>
      </c>
      <c r="K8">
        <v>0</v>
      </c>
      <c r="M8" s="6">
        <v>4</v>
      </c>
      <c r="N8" s="7">
        <v>674000</v>
      </c>
      <c r="O8">
        <f>IF(N8&lt;0,N8/(1+Williams_CoC)^M8,0)</f>
        <v>0</v>
      </c>
      <c r="P8">
        <f>IF(N8&gt;0,N8*(1+Williams_CoC)^($M$10-M8),0)</f>
        <v>853031.25</v>
      </c>
      <c r="Q8">
        <v>0</v>
      </c>
    </row>
    <row r="9" spans="1:17" x14ac:dyDescent="0.2">
      <c r="A9" s="6">
        <v>5</v>
      </c>
      <c r="B9" s="7">
        <v>399000</v>
      </c>
      <c r="C9" s="7">
        <v>701000</v>
      </c>
      <c r="D9" s="8"/>
      <c r="E9" s="8">
        <f>E4+C9</f>
        <v>-1886000</v>
      </c>
      <c r="G9" s="6">
        <v>5</v>
      </c>
      <c r="H9" s="7">
        <v>399000</v>
      </c>
      <c r="I9">
        <f>IF(H9&lt;0,H9/(1+Williams_CoC)^G9,0)</f>
        <v>0</v>
      </c>
      <c r="J9">
        <f>IF(H9&gt;0,H9*(1+Williams_CoC)^($G$12-G9),0)</f>
        <v>568107.421875</v>
      </c>
      <c r="K9">
        <v>0</v>
      </c>
      <c r="M9" s="6">
        <v>5</v>
      </c>
      <c r="N9" s="7">
        <v>701000</v>
      </c>
      <c r="O9">
        <f>IF(N9&lt;0,N9/(1+Williams_CoC)^M9,0)</f>
        <v>0</v>
      </c>
      <c r="P9">
        <f>IF(N9&gt;0,N9*(1+Williams_CoC)^($M$10-M9),0)</f>
        <v>788625</v>
      </c>
      <c r="Q9">
        <v>0</v>
      </c>
    </row>
    <row r="10" spans="1:17" x14ac:dyDescent="0.2">
      <c r="A10" s="6">
        <v>6</v>
      </c>
      <c r="B10" s="7">
        <v>407000</v>
      </c>
      <c r="C10" s="7">
        <v>546000</v>
      </c>
      <c r="D10" s="8"/>
      <c r="E10" s="8">
        <f>E4+C10</f>
        <v>-2041000</v>
      </c>
      <c r="G10" s="6">
        <v>6</v>
      </c>
      <c r="H10" s="7">
        <v>407000</v>
      </c>
      <c r="I10">
        <f>IF(H10&lt;0,H10/(1+Williams_CoC)^G10,0)</f>
        <v>0</v>
      </c>
      <c r="J10">
        <f>IF(H10&gt;0,H10*(1+Williams_CoC)^($G$12-G10),0)</f>
        <v>515109.375</v>
      </c>
      <c r="K10">
        <v>0</v>
      </c>
      <c r="M10" s="6">
        <v>6</v>
      </c>
      <c r="N10" s="7">
        <v>546000</v>
      </c>
      <c r="O10">
        <f>IF(N10&lt;0,N10/(1+Williams_CoC)^M10,0)</f>
        <v>0</v>
      </c>
      <c r="P10">
        <f>IF(N10&gt;0,N10*(1+Williams_CoC)^($M$10-M10),0)</f>
        <v>546000</v>
      </c>
      <c r="Q10">
        <f>SUM(P4:P10)</f>
        <v>6119090.4235839844</v>
      </c>
    </row>
    <row r="11" spans="1:17" x14ac:dyDescent="0.2">
      <c r="A11" s="6">
        <v>7</v>
      </c>
      <c r="B11" s="7">
        <v>476000</v>
      </c>
      <c r="C11" s="7"/>
      <c r="D11" s="8"/>
      <c r="E11" s="8"/>
      <c r="G11" s="6">
        <v>7</v>
      </c>
      <c r="H11" s="7">
        <v>476000</v>
      </c>
      <c r="I11">
        <f>IF(H11&lt;0,H11/(1+Williams_CoC)^G11,0)</f>
        <v>0</v>
      </c>
      <c r="J11">
        <f>IF(H11&gt;0,H11*(1+Williams_CoC)^($G$12-G11),0)</f>
        <v>535500</v>
      </c>
      <c r="K11">
        <v>0</v>
      </c>
    </row>
    <row r="12" spans="1:17" x14ac:dyDescent="0.2">
      <c r="A12" s="6">
        <v>8</v>
      </c>
      <c r="B12" s="7">
        <v>295000</v>
      </c>
      <c r="C12" s="7"/>
      <c r="D12" s="8">
        <f>D4+B12</f>
        <v>295000</v>
      </c>
      <c r="G12" s="6">
        <v>8</v>
      </c>
      <c r="H12" s="7">
        <v>295000</v>
      </c>
      <c r="I12">
        <f>IF(H12&lt;0,H12/(1+Williams_CoC)^G12,0)</f>
        <v>0</v>
      </c>
      <c r="J12">
        <f>IF(H12&gt;0,H12*(1+Williams_CoC)^($G$12-G12),0)</f>
        <v>295000</v>
      </c>
      <c r="K12">
        <f>SUM(J4:J12)</f>
        <v>4353765.7465934753</v>
      </c>
    </row>
    <row r="14" spans="1:17" x14ac:dyDescent="0.2">
      <c r="B14">
        <f>3+209000/284000</f>
        <v>3.7359154929577465</v>
      </c>
      <c r="C14">
        <f>3+127000/674000</f>
        <v>3.1884272997032639</v>
      </c>
      <c r="I14" s="12" t="s">
        <v>28</v>
      </c>
      <c r="J14" s="10">
        <f>IRR(K4:K12)</f>
        <v>0.17651521009949311</v>
      </c>
      <c r="P14" s="12" t="s">
        <v>29</v>
      </c>
      <c r="Q14" s="10">
        <f>IRR(Q4:Q10)</f>
        <v>0.15429037334070572</v>
      </c>
    </row>
    <row r="15" spans="1:17" ht="395" x14ac:dyDescent="0.2">
      <c r="A15" s="12" t="s">
        <v>20</v>
      </c>
      <c r="B15" s="11" t="s">
        <v>21</v>
      </c>
      <c r="L15" s="12" t="s">
        <v>27</v>
      </c>
      <c r="N15" s="11" t="s">
        <v>30</v>
      </c>
    </row>
    <row r="16" spans="1:17" x14ac:dyDescent="0.2">
      <c r="F16"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811B1-4B9C-49EF-8741-7BD8AD601F10}">
  <dimension ref="A1:G13"/>
  <sheetViews>
    <sheetView workbookViewId="0">
      <selection activeCell="E10" sqref="E10"/>
    </sheetView>
  </sheetViews>
  <sheetFormatPr baseColWidth="10" defaultColWidth="8.83203125" defaultRowHeight="15" x14ac:dyDescent="0.2"/>
  <cols>
    <col min="1" max="1" width="12" customWidth="1"/>
    <col min="2" max="3" width="11.1640625" bestFit="1" customWidth="1"/>
    <col min="4" max="4" width="11.83203125" customWidth="1"/>
    <col min="5" max="5" width="16.1640625" customWidth="1"/>
    <col min="6" max="6" width="12.83203125" customWidth="1"/>
    <col min="7" max="7" width="15.83203125" customWidth="1"/>
  </cols>
  <sheetData>
    <row r="1" spans="1:7" x14ac:dyDescent="0.2">
      <c r="A1" s="1" t="s">
        <v>0</v>
      </c>
      <c r="B1" s="2">
        <v>0.125</v>
      </c>
    </row>
    <row r="2" spans="1:7" x14ac:dyDescent="0.2">
      <c r="A2" s="1"/>
    </row>
    <row r="3" spans="1:7" ht="30" x14ac:dyDescent="0.2">
      <c r="A3" s="3" t="s">
        <v>1</v>
      </c>
      <c r="B3" s="3" t="s">
        <v>2</v>
      </c>
      <c r="C3" s="3" t="s">
        <v>3</v>
      </c>
      <c r="D3" s="18" t="s">
        <v>31</v>
      </c>
      <c r="E3" s="20">
        <f>NPV(Williams_CoC,B5:B12)+B4</f>
        <v>510855.57104337867</v>
      </c>
      <c r="F3" s="19" t="s">
        <v>40</v>
      </c>
      <c r="G3" s="8">
        <f>NPV(Williams_CoC,C5:C10)+C4</f>
        <v>431364.86082180357</v>
      </c>
    </row>
    <row r="4" spans="1:7" ht="32" x14ac:dyDescent="0.2">
      <c r="A4" s="4" t="s">
        <v>4</v>
      </c>
      <c r="B4" s="5">
        <v>-1186000</v>
      </c>
      <c r="C4" s="5">
        <v>-2587000</v>
      </c>
      <c r="D4" s="12" t="s">
        <v>32</v>
      </c>
      <c r="E4" s="9">
        <v>8</v>
      </c>
      <c r="F4" s="18" t="s">
        <v>33</v>
      </c>
      <c r="G4">
        <v>6</v>
      </c>
    </row>
    <row r="5" spans="1:7" x14ac:dyDescent="0.2">
      <c r="A5" s="6">
        <v>1</v>
      </c>
      <c r="B5" s="7">
        <v>319000</v>
      </c>
      <c r="C5" s="7">
        <v>723000</v>
      </c>
      <c r="D5" s="12" t="s">
        <v>34</v>
      </c>
      <c r="E5" s="9">
        <f>-PMT(Williams_CoC,8,E3)</f>
        <v>104639.66316647381</v>
      </c>
      <c r="F5" s="12" t="s">
        <v>35</v>
      </c>
      <c r="G5" s="9">
        <f>-PMT(Williams_CoC,6,G3)</f>
        <v>106408.98942431597</v>
      </c>
    </row>
    <row r="6" spans="1:7" x14ac:dyDescent="0.2">
      <c r="A6" s="6">
        <v>2</v>
      </c>
      <c r="B6" s="7">
        <v>319000</v>
      </c>
      <c r="C6" s="7">
        <v>873000</v>
      </c>
    </row>
    <row r="7" spans="1:7" x14ac:dyDescent="0.2">
      <c r="A7" s="6">
        <v>3</v>
      </c>
      <c r="B7" s="7">
        <v>339000</v>
      </c>
      <c r="C7" s="7">
        <v>864000</v>
      </c>
    </row>
    <row r="8" spans="1:7" x14ac:dyDescent="0.2">
      <c r="A8" s="6">
        <v>4</v>
      </c>
      <c r="B8" s="7">
        <v>284000</v>
      </c>
      <c r="C8" s="7">
        <v>674000</v>
      </c>
      <c r="D8" s="11"/>
    </row>
    <row r="9" spans="1:7" x14ac:dyDescent="0.2">
      <c r="A9" s="6">
        <v>5</v>
      </c>
      <c r="B9" s="7">
        <v>399000</v>
      </c>
      <c r="C9" s="7">
        <v>701000</v>
      </c>
    </row>
    <row r="10" spans="1:7" x14ac:dyDescent="0.2">
      <c r="A10" s="6">
        <v>6</v>
      </c>
      <c r="B10" s="7">
        <v>407000</v>
      </c>
      <c r="C10" s="7">
        <v>546000</v>
      </c>
      <c r="E10" s="12" t="s">
        <v>39</v>
      </c>
    </row>
    <row r="11" spans="1:7" x14ac:dyDescent="0.2">
      <c r="A11" s="6">
        <v>7</v>
      </c>
      <c r="B11" s="7">
        <v>476000</v>
      </c>
      <c r="C11" s="7"/>
    </row>
    <row r="12" spans="1:7" x14ac:dyDescent="0.2">
      <c r="A12" s="6">
        <v>8</v>
      </c>
      <c r="B12" s="7">
        <v>295000</v>
      </c>
      <c r="C12" s="7"/>
    </row>
    <row r="13" spans="1:7" ht="350" x14ac:dyDescent="0.2">
      <c r="E13" s="12" t="s">
        <v>36</v>
      </c>
      <c r="F13" t="str">
        <f>IF(E5&gt;G5,"choose project a", "choose project b")</f>
        <v>choose project b</v>
      </c>
      <c r="G13" s="11"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Williams_NPV</vt:lpstr>
      <vt:lpstr>Williams_Modified CF</vt:lpstr>
      <vt:lpstr>Williams_Unequal lives</vt:lpstr>
      <vt:lpstr>Currency</vt:lpstr>
      <vt:lpstr>Williams_CoC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Gisung Moon</dc:creator>
  <cp:lastModifiedBy>Nekaya Williams</cp:lastModifiedBy>
  <dcterms:created xsi:type="dcterms:W3CDTF">2026-03-30T15:55:31Z</dcterms:created>
  <dcterms:modified xsi:type="dcterms:W3CDTF">2026-04-13T21:53:51Z</dcterms:modified>
</cp:coreProperties>
</file>